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n/Library/Application Support/Claude/local-agent-mode-sessions/b53cdb24-f754-481a-ab08-4dc337fcc723/a98f2090-9b47-4d91-875a-44860fc02956/local_b3322165-b651-4ae1-a8f9-333aadee04c0/outputs/"/>
    </mc:Choice>
  </mc:AlternateContent>
  <xr:revisionPtr revIDLastSave="0" documentId="8_{1D0F0EEF-3438-0F43-B81F-0F29E8E1596E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Operation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0" i="1" l="1"/>
  <c r="G40" i="1"/>
  <c r="C40" i="1"/>
  <c r="K39" i="1"/>
  <c r="G39" i="1"/>
  <c r="C39" i="1"/>
  <c r="K34" i="1"/>
  <c r="K42" i="1" s="1"/>
  <c r="G34" i="1"/>
  <c r="G42" i="1" s="1"/>
  <c r="C34" i="1"/>
  <c r="C42" i="1" s="1"/>
  <c r="N33" i="1"/>
  <c r="L33" i="1"/>
  <c r="J33" i="1"/>
  <c r="H33" i="1"/>
  <c r="F33" i="1"/>
  <c r="D33" i="1"/>
  <c r="N32" i="1"/>
  <c r="L32" i="1"/>
  <c r="J32" i="1"/>
  <c r="H32" i="1"/>
  <c r="F32" i="1"/>
  <c r="D32" i="1"/>
  <c r="N31" i="1"/>
  <c r="L31" i="1"/>
  <c r="L34" i="1" s="1"/>
  <c r="J31" i="1"/>
  <c r="H31" i="1"/>
  <c r="F31" i="1"/>
  <c r="D31" i="1"/>
  <c r="N30" i="1"/>
  <c r="L30" i="1"/>
  <c r="J30" i="1"/>
  <c r="H30" i="1"/>
  <c r="F30" i="1"/>
  <c r="D30" i="1"/>
  <c r="N29" i="1"/>
  <c r="L29" i="1"/>
  <c r="J29" i="1"/>
  <c r="H29" i="1"/>
  <c r="F29" i="1"/>
  <c r="D29" i="1"/>
  <c r="N28" i="1"/>
  <c r="L28" i="1"/>
  <c r="J28" i="1"/>
  <c r="H28" i="1"/>
  <c r="F28" i="1"/>
  <c r="D28" i="1"/>
  <c r="N27" i="1"/>
  <c r="L27" i="1"/>
  <c r="J27" i="1"/>
  <c r="H27" i="1"/>
  <c r="F27" i="1"/>
  <c r="D27" i="1"/>
  <c r="N26" i="1"/>
  <c r="L26" i="1"/>
  <c r="J26" i="1"/>
  <c r="H26" i="1"/>
  <c r="F26" i="1"/>
  <c r="D26" i="1"/>
  <c r="N25" i="1"/>
  <c r="L25" i="1"/>
  <c r="J25" i="1"/>
  <c r="H25" i="1"/>
  <c r="F25" i="1"/>
  <c r="D25" i="1"/>
  <c r="N24" i="1"/>
  <c r="L24" i="1"/>
  <c r="J24" i="1"/>
  <c r="H24" i="1"/>
  <c r="F24" i="1"/>
  <c r="D24" i="1"/>
  <c r="N23" i="1"/>
  <c r="L23" i="1"/>
  <c r="J23" i="1"/>
  <c r="H23" i="1"/>
  <c r="F23" i="1"/>
  <c r="D23" i="1"/>
  <c r="N22" i="1"/>
  <c r="L22" i="1"/>
  <c r="J22" i="1"/>
  <c r="H22" i="1"/>
  <c r="F22" i="1"/>
  <c r="D22" i="1"/>
  <c r="N21" i="1"/>
  <c r="L21" i="1"/>
  <c r="J21" i="1"/>
  <c r="H21" i="1"/>
  <c r="F21" i="1"/>
  <c r="D21" i="1"/>
  <c r="N20" i="1"/>
  <c r="L20" i="1"/>
  <c r="J20" i="1"/>
  <c r="H20" i="1"/>
  <c r="F20" i="1"/>
  <c r="D20" i="1"/>
  <c r="N19" i="1"/>
  <c r="L19" i="1"/>
  <c r="J19" i="1"/>
  <c r="H19" i="1"/>
  <c r="F19" i="1"/>
  <c r="D19" i="1"/>
  <c r="N18" i="1"/>
  <c r="L18" i="1"/>
  <c r="J18" i="1"/>
  <c r="H18" i="1"/>
  <c r="F18" i="1"/>
  <c r="D18" i="1"/>
  <c r="N17" i="1"/>
  <c r="L17" i="1"/>
  <c r="J17" i="1"/>
  <c r="H17" i="1"/>
  <c r="F17" i="1"/>
  <c r="D17" i="1"/>
  <c r="N16" i="1"/>
  <c r="L16" i="1"/>
  <c r="J16" i="1"/>
  <c r="H16" i="1"/>
  <c r="F16" i="1"/>
  <c r="D16" i="1"/>
  <c r="N15" i="1"/>
  <c r="L15" i="1"/>
  <c r="J15" i="1"/>
  <c r="H15" i="1"/>
  <c r="F15" i="1"/>
  <c r="D15" i="1"/>
  <c r="N14" i="1"/>
  <c r="L14" i="1"/>
  <c r="J14" i="1"/>
  <c r="H14" i="1"/>
  <c r="F14" i="1"/>
  <c r="D14" i="1"/>
  <c r="N13" i="1"/>
  <c r="L13" i="1"/>
  <c r="J13" i="1"/>
  <c r="H13" i="1"/>
  <c r="F13" i="1"/>
  <c r="D13" i="1"/>
  <c r="N12" i="1"/>
  <c r="L12" i="1"/>
  <c r="J12" i="1"/>
  <c r="H12" i="1"/>
  <c r="F12" i="1"/>
  <c r="D12" i="1"/>
  <c r="N11" i="1"/>
  <c r="L11" i="1"/>
  <c r="J11" i="1"/>
  <c r="H11" i="1"/>
  <c r="F11" i="1"/>
  <c r="D11" i="1"/>
  <c r="N10" i="1"/>
  <c r="L10" i="1"/>
  <c r="J10" i="1"/>
  <c r="H10" i="1"/>
  <c r="F10" i="1"/>
  <c r="D10" i="1"/>
  <c r="N9" i="1"/>
  <c r="L9" i="1"/>
  <c r="J9" i="1"/>
  <c r="H9" i="1"/>
  <c r="F9" i="1"/>
  <c r="D9" i="1"/>
  <c r="N8" i="1"/>
  <c r="L8" i="1"/>
  <c r="J8" i="1"/>
  <c r="H8" i="1"/>
  <c r="F8" i="1"/>
  <c r="D8" i="1"/>
  <c r="N7" i="1"/>
  <c r="L7" i="1"/>
  <c r="J7" i="1"/>
  <c r="H7" i="1"/>
  <c r="F7" i="1"/>
  <c r="D7" i="1"/>
  <c r="N6" i="1"/>
  <c r="L6" i="1"/>
  <c r="J6" i="1"/>
  <c r="H6" i="1"/>
  <c r="F6" i="1"/>
  <c r="D6" i="1"/>
  <c r="D34" i="1" s="1"/>
  <c r="N5" i="1"/>
  <c r="N34" i="1" s="1"/>
  <c r="L5" i="1"/>
  <c r="J5" i="1"/>
  <c r="J34" i="1" s="1"/>
  <c r="H5" i="1"/>
  <c r="H34" i="1" s="1"/>
  <c r="F5" i="1"/>
  <c r="F34" i="1" s="1"/>
  <c r="D5" i="1"/>
  <c r="C38" i="1" l="1"/>
  <c r="G38" i="1"/>
  <c r="C41" i="1"/>
  <c r="K38" i="1"/>
  <c r="G41" i="1"/>
  <c r="K41" i="1"/>
</calcChain>
</file>

<file path=xl/sharedStrings.xml><?xml version="1.0" encoding="utf-8"?>
<sst xmlns="http://schemas.openxmlformats.org/spreadsheetml/2006/main" count="100" uniqueCount="71">
  <si>
    <t>GRAM TARANG APPARELS – FULL SLEEVE SHIRT</t>
  </si>
  <si>
    <t>Operation Chart  |  Standard Allowed Minutes (SAM)  |  Shift = 180 Minutes</t>
  </si>
  <si>
    <t>Op #</t>
  </si>
  <si>
    <t>Operation Name</t>
  </si>
  <si>
    <t>PLAN 1 – 100% Efficiency (Industry Standard)</t>
  </si>
  <si>
    <t>PLAN 2 – 80% Efficiency (20% Less)</t>
  </si>
  <si>
    <t>PLAN 3 – 50% Efficiency</t>
  </si>
  <si>
    <t>Notes / Machine Type</t>
  </si>
  <si>
    <t>SAM (min)</t>
  </si>
  <si>
    <t>Output/Shift
(pcs)</t>
  </si>
  <si>
    <t>Efficiency</t>
  </si>
  <si>
    <t>Adj SAM (min)</t>
  </si>
  <si>
    <t>Fusing – Collar &amp; Collar Band</t>
  </si>
  <si>
    <t>Fusing Machine</t>
  </si>
  <si>
    <t>Stitch Collar (Outer &amp; Inner)</t>
  </si>
  <si>
    <t>SNLS</t>
  </si>
  <si>
    <t>Trim, Grade &amp; Turn Collar</t>
  </si>
  <si>
    <t>Manual / SNLS</t>
  </si>
  <si>
    <t>Top Stitch Collar</t>
  </si>
  <si>
    <t>Stitch Collar Band (Join Ends)</t>
  </si>
  <si>
    <t>Attach Collar to Collar Band</t>
  </si>
  <si>
    <t>Top Stitch Collar Band</t>
  </si>
  <si>
    <t>Fusing – Cuff</t>
  </si>
  <si>
    <t>Stitch Cuff</t>
  </si>
  <si>
    <t>Trim, Grade &amp; Turn Cuff</t>
  </si>
  <si>
    <t>Top Stitch Cuff</t>
  </si>
  <si>
    <t>Mark &amp; Stitch Front Placket</t>
  </si>
  <si>
    <t>Attach Chest Pocket</t>
  </si>
  <si>
    <t>Top Stitch Pocket</t>
  </si>
  <si>
    <t>Join Back Yoke (Two Pieces)</t>
  </si>
  <si>
    <t>Attach Back Yoke to Back Body</t>
  </si>
  <si>
    <t>Join Back Box Pleat</t>
  </si>
  <si>
    <t>Join Shoulder Seam</t>
  </si>
  <si>
    <t>Set Collar to Body</t>
  </si>
  <si>
    <t>Make Sleeve Placket</t>
  </si>
  <si>
    <t>Set Sleeve to Body (Attach Sleeve)</t>
  </si>
  <si>
    <t>Feed-off-the-Arm (FOTA)</t>
  </si>
  <si>
    <t>Join Side Seam &amp; Sleeve Seam (Single Run)</t>
  </si>
  <si>
    <t>FOTA</t>
  </si>
  <si>
    <t>Attach Cuff to Sleeve</t>
  </si>
  <si>
    <t>Hem Bottom</t>
  </si>
  <si>
    <t>Buttonhole – Front (7 holes)</t>
  </si>
  <si>
    <t>Buttonhole Machine</t>
  </si>
  <si>
    <t>Buttonhole – Cuff (4 holes total)</t>
  </si>
  <si>
    <t>Button Attach – Front (7 buttons)</t>
  </si>
  <si>
    <t>Button Attach Machine</t>
  </si>
  <si>
    <t>Button Attach – Cuff (4 buttons total)</t>
  </si>
  <si>
    <t>Thread Trimming &amp; Final Inspection</t>
  </si>
  <si>
    <t>Manual</t>
  </si>
  <si>
    <t>TOTAL / SUMMARY</t>
  </si>
  <si>
    <t>100%</t>
  </si>
  <si>
    <t>80%</t>
  </si>
  <si>
    <t>50%</t>
  </si>
  <si>
    <t>Total SAM | Bottleneck Output (min pcs/shift per op)</t>
  </si>
  <si>
    <t>CUT-TO-STITCH OUTPUT SUMMARY  –  180-MINUTE SHIFT</t>
  </si>
  <si>
    <t>Metric</t>
  </si>
  <si>
    <t>PLAN 1 (100%)</t>
  </si>
  <si>
    <t>PLAN 2 (80%)</t>
  </si>
  <si>
    <t>PLAN 3 (50%)</t>
  </si>
  <si>
    <t>Formula / Notes</t>
  </si>
  <si>
    <t>Total SMV (min)</t>
  </si>
  <si>
    <t>Sum of all operation SAMs</t>
  </si>
  <si>
    <t>Effective Available Time (min)</t>
  </si>
  <si>
    <t>Shift (180 min) × Efficiency</t>
  </si>
  <si>
    <t>Line Output – Bottleneck Basis (pcs)</t>
  </si>
  <si>
    <t>Eff. Time ÷ Bottleneck SAM (Set Collar = 0.90 min)</t>
  </si>
  <si>
    <t>Theoretical Line Output – Balanced (pcs)</t>
  </si>
  <si>
    <t>(Eff. Time × No. Operators) ÷ Total SMV  [29 ops]</t>
  </si>
  <si>
    <t>Output per Operator (avg, pcs)</t>
  </si>
  <si>
    <t>Eff. Time ÷ Total SMV</t>
  </si>
  <si>
    <t>Legend:  Blue text = Input (SAM / Efficiency)  |  Black text = Formula  |  Shift = 180 min  |  Source: Industry Standard SMV – Woven Shirt (AAMA / GSD norms)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</si>
</sst>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i/>
      <sz val="9"/>
      <color rgb="FF59595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DEEAF1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D9F7"/>
        <bgColor rgb="FFD9E1F2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EEAF1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0" fillId="0" borderId="0" xfId="0" applyFont="1" applyAlignment="1">
      <alignment horizontal="left" vertical="center" wrapText="1"/>
    </xf>
    <xf numFmtId="1" fontId="9" fillId="8" borderId="3" xfId="0" applyNumberFormat="1" applyFont="1" applyFill="1" applyBorder="1" applyAlignment="1">
      <alignment horizontal="center" vertical="center" wrapText="1"/>
    </xf>
    <xf numFmtId="1" fontId="9" fillId="11" borderId="3" xfId="0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left" vertical="center" wrapText="1"/>
    </xf>
    <xf numFmtId="2" fontId="9" fillId="8" borderId="3" xfId="0" applyNumberFormat="1" applyFont="1" applyFill="1" applyBorder="1" applyAlignment="1">
      <alignment horizontal="center" vertical="center" wrapText="1"/>
    </xf>
    <xf numFmtId="2" fontId="9" fillId="11" borderId="3" xfId="0" applyNumberFormat="1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2" fontId="7" fillId="6" borderId="2" xfId="0" applyNumberFormat="1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center" vertical="center" wrapText="1"/>
    </xf>
    <xf numFmtId="9" fontId="7" fillId="6" borderId="2" xfId="0" applyNumberFormat="1" applyFont="1" applyFill="1" applyBorder="1" applyAlignment="1">
      <alignment horizontal="center" vertical="center" wrapText="1"/>
    </xf>
    <xf numFmtId="2" fontId="6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2" fontId="7" fillId="7" borderId="2" xfId="0" applyNumberFormat="1" applyFont="1" applyFill="1" applyBorder="1" applyAlignment="1">
      <alignment horizontal="center" vertical="center" wrapText="1"/>
    </xf>
    <xf numFmtId="1" fontId="6" fillId="7" borderId="2" xfId="0" applyNumberFormat="1" applyFont="1" applyFill="1" applyBorder="1" applyAlignment="1">
      <alignment horizontal="center" vertical="center" wrapText="1"/>
    </xf>
    <xf numFmtId="9" fontId="7" fillId="7" borderId="2" xfId="0" applyNumberFormat="1" applyFont="1" applyFill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2" fontId="7" fillId="8" borderId="2" xfId="0" applyNumberFormat="1" applyFont="1" applyFill="1" applyBorder="1" applyAlignment="1">
      <alignment horizontal="center" vertical="center" wrapText="1"/>
    </xf>
    <xf numFmtId="1" fontId="6" fillId="8" borderId="2" xfId="0" applyNumberFormat="1" applyFont="1" applyFill="1" applyBorder="1" applyAlignment="1">
      <alignment horizontal="center" vertical="center" wrapText="1"/>
    </xf>
    <xf numFmtId="9" fontId="7" fillId="8" borderId="2" xfId="0" applyNumberFormat="1" applyFont="1" applyFill="1" applyBorder="1" applyAlignment="1">
      <alignment horizontal="center" vertical="center" wrapText="1"/>
    </xf>
    <xf numFmtId="2" fontId="6" fillId="8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2" fontId="7" fillId="9" borderId="2" xfId="0" applyNumberFormat="1" applyFont="1" applyFill="1" applyBorder="1" applyAlignment="1">
      <alignment horizontal="center" vertical="center" wrapText="1"/>
    </xf>
    <xf numFmtId="1" fontId="6" fillId="9" borderId="2" xfId="0" applyNumberFormat="1" applyFont="1" applyFill="1" applyBorder="1" applyAlignment="1">
      <alignment horizontal="center" vertical="center" wrapText="1"/>
    </xf>
    <xf numFmtId="9" fontId="7" fillId="9" borderId="2" xfId="0" applyNumberFormat="1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D9F7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P1"/>
    </sheetView>
  </sheetViews>
  <sheetFormatPr baseColWidth="10" defaultColWidth="8.6640625" defaultRowHeight="15" x14ac:dyDescent="0.2"/>
  <cols>
    <col min="1" max="1" width="5" customWidth="1"/>
    <col min="2" max="2" width="34" customWidth="1"/>
    <col min="3" max="3" width="9" customWidth="1"/>
    <col min="4" max="4" width="10" customWidth="1"/>
    <col min="5" max="5" width="8" customWidth="1"/>
    <col min="6" max="6" width="10" customWidth="1"/>
    <col min="7" max="7" width="9" customWidth="1"/>
    <col min="8" max="8" width="10" customWidth="1"/>
    <col min="9" max="9" width="8" customWidth="1"/>
    <col min="10" max="10" width="10" customWidth="1"/>
    <col min="11" max="11" width="9" customWidth="1"/>
    <col min="12" max="12" width="10" customWidth="1"/>
    <col min="13" max="13" width="8" customWidth="1"/>
    <col min="14" max="14" width="10" customWidth="1"/>
    <col min="15" max="15" width="28" customWidth="1"/>
  </cols>
  <sheetData>
    <row r="1" spans="1:16" ht="30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18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21.75" customHeight="1" x14ac:dyDescent="0.2">
      <c r="A3" s="12" t="s">
        <v>2</v>
      </c>
      <c r="B3" s="11" t="s">
        <v>3</v>
      </c>
      <c r="C3" s="10" t="s">
        <v>4</v>
      </c>
      <c r="D3" s="10"/>
      <c r="E3" s="10"/>
      <c r="F3" s="10"/>
      <c r="G3" s="9" t="s">
        <v>5</v>
      </c>
      <c r="H3" s="9"/>
      <c r="I3" s="9"/>
      <c r="J3" s="9"/>
      <c r="K3" s="8" t="s">
        <v>6</v>
      </c>
      <c r="L3" s="8"/>
      <c r="M3" s="8"/>
      <c r="N3" s="8"/>
      <c r="O3" s="11" t="s">
        <v>7</v>
      </c>
    </row>
    <row r="4" spans="1:16" ht="30" customHeight="1" x14ac:dyDescent="0.2">
      <c r="A4" s="12"/>
      <c r="B4" s="11"/>
      <c r="C4" s="16" t="s">
        <v>8</v>
      </c>
      <c r="D4" s="16" t="s">
        <v>9</v>
      </c>
      <c r="E4" s="16" t="s">
        <v>10</v>
      </c>
      <c r="F4" s="16" t="s">
        <v>11</v>
      </c>
      <c r="G4" s="17" t="s">
        <v>8</v>
      </c>
      <c r="H4" s="17" t="s">
        <v>9</v>
      </c>
      <c r="I4" s="17" t="s">
        <v>10</v>
      </c>
      <c r="J4" s="17" t="s">
        <v>11</v>
      </c>
      <c r="K4" s="18" t="s">
        <v>8</v>
      </c>
      <c r="L4" s="18" t="s">
        <v>9</v>
      </c>
      <c r="M4" s="18" t="s">
        <v>10</v>
      </c>
      <c r="N4" s="18" t="s">
        <v>11</v>
      </c>
      <c r="O4" s="11"/>
    </row>
    <row r="5" spans="1:16" x14ac:dyDescent="0.2">
      <c r="A5" s="19">
        <v>1</v>
      </c>
      <c r="B5" s="20" t="s">
        <v>12</v>
      </c>
      <c r="C5" s="21">
        <v>0.3</v>
      </c>
      <c r="D5" s="22">
        <f t="shared" ref="D5:D33" si="0">INT(180*E5/C5)</f>
        <v>600</v>
      </c>
      <c r="E5" s="23">
        <v>1</v>
      </c>
      <c r="F5" s="24">
        <f t="shared" ref="F5:F33" si="1">C5/E5</f>
        <v>0.3</v>
      </c>
      <c r="G5" s="21">
        <v>0.3</v>
      </c>
      <c r="H5" s="22">
        <f t="shared" ref="H5:H33" si="2">INT(180*I5/G5)</f>
        <v>480</v>
      </c>
      <c r="I5" s="23">
        <v>0.8</v>
      </c>
      <c r="J5" s="24">
        <f t="shared" ref="J5:J33" si="3">G5/I5</f>
        <v>0.37499999999999994</v>
      </c>
      <c r="K5" s="21">
        <v>0.3</v>
      </c>
      <c r="L5" s="22">
        <f t="shared" ref="L5:L33" si="4">INT(180*M5/K5)</f>
        <v>300</v>
      </c>
      <c r="M5" s="23">
        <v>0.5</v>
      </c>
      <c r="N5" s="24">
        <f t="shared" ref="N5:N33" si="5">K5/M5</f>
        <v>0.6</v>
      </c>
      <c r="O5" s="25" t="s">
        <v>13</v>
      </c>
    </row>
    <row r="6" spans="1:16" x14ac:dyDescent="0.2">
      <c r="A6" s="19">
        <v>2</v>
      </c>
      <c r="B6" s="20" t="s">
        <v>14</v>
      </c>
      <c r="C6" s="21">
        <v>0.55000000000000004</v>
      </c>
      <c r="D6" s="22">
        <f t="shared" si="0"/>
        <v>327</v>
      </c>
      <c r="E6" s="23">
        <v>1</v>
      </c>
      <c r="F6" s="24">
        <f t="shared" si="1"/>
        <v>0.55000000000000004</v>
      </c>
      <c r="G6" s="21">
        <v>0.55000000000000004</v>
      </c>
      <c r="H6" s="22">
        <f t="shared" si="2"/>
        <v>261</v>
      </c>
      <c r="I6" s="23">
        <v>0.8</v>
      </c>
      <c r="J6" s="24">
        <f t="shared" si="3"/>
        <v>0.6875</v>
      </c>
      <c r="K6" s="21">
        <v>0.55000000000000004</v>
      </c>
      <c r="L6" s="22">
        <f t="shared" si="4"/>
        <v>163</v>
      </c>
      <c r="M6" s="23">
        <v>0.5</v>
      </c>
      <c r="N6" s="24">
        <f t="shared" si="5"/>
        <v>1.1000000000000001</v>
      </c>
      <c r="O6" s="25" t="s">
        <v>15</v>
      </c>
    </row>
    <row r="7" spans="1:16" x14ac:dyDescent="0.2">
      <c r="A7" s="19">
        <v>3</v>
      </c>
      <c r="B7" s="20" t="s">
        <v>16</v>
      </c>
      <c r="C7" s="21">
        <v>0.35</v>
      </c>
      <c r="D7" s="22">
        <f t="shared" si="0"/>
        <v>514</v>
      </c>
      <c r="E7" s="23">
        <v>1</v>
      </c>
      <c r="F7" s="24">
        <f t="shared" si="1"/>
        <v>0.35</v>
      </c>
      <c r="G7" s="21">
        <v>0.35</v>
      </c>
      <c r="H7" s="22">
        <f t="shared" si="2"/>
        <v>411</v>
      </c>
      <c r="I7" s="23">
        <v>0.8</v>
      </c>
      <c r="J7" s="24">
        <f t="shared" si="3"/>
        <v>0.43749999999999994</v>
      </c>
      <c r="K7" s="21">
        <v>0.35</v>
      </c>
      <c r="L7" s="22">
        <f t="shared" si="4"/>
        <v>257</v>
      </c>
      <c r="M7" s="23">
        <v>0.5</v>
      </c>
      <c r="N7" s="24">
        <f t="shared" si="5"/>
        <v>0.7</v>
      </c>
      <c r="O7" s="25" t="s">
        <v>17</v>
      </c>
    </row>
    <row r="8" spans="1:16" x14ac:dyDescent="0.2">
      <c r="A8" s="19">
        <v>4</v>
      </c>
      <c r="B8" s="20" t="s">
        <v>18</v>
      </c>
      <c r="C8" s="21">
        <v>0.45</v>
      </c>
      <c r="D8" s="22">
        <f t="shared" si="0"/>
        <v>400</v>
      </c>
      <c r="E8" s="23">
        <v>1</v>
      </c>
      <c r="F8" s="24">
        <f t="shared" si="1"/>
        <v>0.45</v>
      </c>
      <c r="G8" s="21">
        <v>0.45</v>
      </c>
      <c r="H8" s="22">
        <f t="shared" si="2"/>
        <v>320</v>
      </c>
      <c r="I8" s="23">
        <v>0.8</v>
      </c>
      <c r="J8" s="24">
        <f t="shared" si="3"/>
        <v>0.5625</v>
      </c>
      <c r="K8" s="21">
        <v>0.45</v>
      </c>
      <c r="L8" s="22">
        <f t="shared" si="4"/>
        <v>200</v>
      </c>
      <c r="M8" s="23">
        <v>0.5</v>
      </c>
      <c r="N8" s="24">
        <f t="shared" si="5"/>
        <v>0.9</v>
      </c>
      <c r="O8" s="25" t="s">
        <v>15</v>
      </c>
    </row>
    <row r="9" spans="1:16" x14ac:dyDescent="0.2">
      <c r="A9" s="19">
        <v>5</v>
      </c>
      <c r="B9" s="20" t="s">
        <v>19</v>
      </c>
      <c r="C9" s="21">
        <v>0.4</v>
      </c>
      <c r="D9" s="22">
        <f t="shared" si="0"/>
        <v>450</v>
      </c>
      <c r="E9" s="23">
        <v>1</v>
      </c>
      <c r="F9" s="24">
        <f t="shared" si="1"/>
        <v>0.4</v>
      </c>
      <c r="G9" s="21">
        <v>0.4</v>
      </c>
      <c r="H9" s="22">
        <f t="shared" si="2"/>
        <v>360</v>
      </c>
      <c r="I9" s="23">
        <v>0.8</v>
      </c>
      <c r="J9" s="24">
        <f t="shared" si="3"/>
        <v>0.5</v>
      </c>
      <c r="K9" s="21">
        <v>0.4</v>
      </c>
      <c r="L9" s="22">
        <f t="shared" si="4"/>
        <v>225</v>
      </c>
      <c r="M9" s="23">
        <v>0.5</v>
      </c>
      <c r="N9" s="24">
        <f t="shared" si="5"/>
        <v>0.8</v>
      </c>
      <c r="O9" s="25" t="s">
        <v>15</v>
      </c>
    </row>
    <row r="10" spans="1:16" x14ac:dyDescent="0.2">
      <c r="A10" s="19">
        <v>6</v>
      </c>
      <c r="B10" s="20" t="s">
        <v>20</v>
      </c>
      <c r="C10" s="21">
        <v>0.55000000000000004</v>
      </c>
      <c r="D10" s="22">
        <f t="shared" si="0"/>
        <v>327</v>
      </c>
      <c r="E10" s="23">
        <v>1</v>
      </c>
      <c r="F10" s="24">
        <f t="shared" si="1"/>
        <v>0.55000000000000004</v>
      </c>
      <c r="G10" s="21">
        <v>0.55000000000000004</v>
      </c>
      <c r="H10" s="22">
        <f t="shared" si="2"/>
        <v>261</v>
      </c>
      <c r="I10" s="23">
        <v>0.8</v>
      </c>
      <c r="J10" s="24">
        <f t="shared" si="3"/>
        <v>0.6875</v>
      </c>
      <c r="K10" s="21">
        <v>0.55000000000000004</v>
      </c>
      <c r="L10" s="22">
        <f t="shared" si="4"/>
        <v>163</v>
      </c>
      <c r="M10" s="23">
        <v>0.5</v>
      </c>
      <c r="N10" s="24">
        <f t="shared" si="5"/>
        <v>1.1000000000000001</v>
      </c>
      <c r="O10" s="25" t="s">
        <v>15</v>
      </c>
    </row>
    <row r="11" spans="1:16" x14ac:dyDescent="0.2">
      <c r="A11" s="19">
        <v>7</v>
      </c>
      <c r="B11" s="20" t="s">
        <v>21</v>
      </c>
      <c r="C11" s="21">
        <v>0.45</v>
      </c>
      <c r="D11" s="22">
        <f t="shared" si="0"/>
        <v>400</v>
      </c>
      <c r="E11" s="23">
        <v>1</v>
      </c>
      <c r="F11" s="24">
        <f t="shared" si="1"/>
        <v>0.45</v>
      </c>
      <c r="G11" s="21">
        <v>0.45</v>
      </c>
      <c r="H11" s="22">
        <f t="shared" si="2"/>
        <v>320</v>
      </c>
      <c r="I11" s="23">
        <v>0.8</v>
      </c>
      <c r="J11" s="24">
        <f t="shared" si="3"/>
        <v>0.5625</v>
      </c>
      <c r="K11" s="21">
        <v>0.45</v>
      </c>
      <c r="L11" s="22">
        <f t="shared" si="4"/>
        <v>200</v>
      </c>
      <c r="M11" s="23">
        <v>0.5</v>
      </c>
      <c r="N11" s="24">
        <f t="shared" si="5"/>
        <v>0.9</v>
      </c>
      <c r="O11" s="25" t="s">
        <v>15</v>
      </c>
    </row>
    <row r="12" spans="1:16" x14ac:dyDescent="0.2">
      <c r="A12" s="26">
        <v>8</v>
      </c>
      <c r="B12" s="27" t="s">
        <v>22</v>
      </c>
      <c r="C12" s="28">
        <v>0.25</v>
      </c>
      <c r="D12" s="29">
        <f t="shared" si="0"/>
        <v>720</v>
      </c>
      <c r="E12" s="30">
        <v>1</v>
      </c>
      <c r="F12" s="31">
        <f t="shared" si="1"/>
        <v>0.25</v>
      </c>
      <c r="G12" s="28">
        <v>0.25</v>
      </c>
      <c r="H12" s="29">
        <f t="shared" si="2"/>
        <v>576</v>
      </c>
      <c r="I12" s="30">
        <v>0.8</v>
      </c>
      <c r="J12" s="31">
        <f t="shared" si="3"/>
        <v>0.3125</v>
      </c>
      <c r="K12" s="28">
        <v>0.25</v>
      </c>
      <c r="L12" s="29">
        <f t="shared" si="4"/>
        <v>360</v>
      </c>
      <c r="M12" s="30">
        <v>0.5</v>
      </c>
      <c r="N12" s="31">
        <f t="shared" si="5"/>
        <v>0.5</v>
      </c>
      <c r="O12" s="32" t="s">
        <v>13</v>
      </c>
    </row>
    <row r="13" spans="1:16" x14ac:dyDescent="0.2">
      <c r="A13" s="26">
        <v>9</v>
      </c>
      <c r="B13" s="27" t="s">
        <v>23</v>
      </c>
      <c r="C13" s="28">
        <v>0.45</v>
      </c>
      <c r="D13" s="29">
        <f t="shared" si="0"/>
        <v>400</v>
      </c>
      <c r="E13" s="30">
        <v>1</v>
      </c>
      <c r="F13" s="31">
        <f t="shared" si="1"/>
        <v>0.45</v>
      </c>
      <c r="G13" s="28">
        <v>0.45</v>
      </c>
      <c r="H13" s="29">
        <f t="shared" si="2"/>
        <v>320</v>
      </c>
      <c r="I13" s="30">
        <v>0.8</v>
      </c>
      <c r="J13" s="31">
        <f t="shared" si="3"/>
        <v>0.5625</v>
      </c>
      <c r="K13" s="28">
        <v>0.45</v>
      </c>
      <c r="L13" s="29">
        <f t="shared" si="4"/>
        <v>200</v>
      </c>
      <c r="M13" s="30">
        <v>0.5</v>
      </c>
      <c r="N13" s="31">
        <f t="shared" si="5"/>
        <v>0.9</v>
      </c>
      <c r="O13" s="32" t="s">
        <v>15</v>
      </c>
    </row>
    <row r="14" spans="1:16" x14ac:dyDescent="0.2">
      <c r="A14" s="26">
        <v>10</v>
      </c>
      <c r="B14" s="27" t="s">
        <v>24</v>
      </c>
      <c r="C14" s="28">
        <v>0.3</v>
      </c>
      <c r="D14" s="29">
        <f t="shared" si="0"/>
        <v>600</v>
      </c>
      <c r="E14" s="30">
        <v>1</v>
      </c>
      <c r="F14" s="31">
        <f t="shared" si="1"/>
        <v>0.3</v>
      </c>
      <c r="G14" s="28">
        <v>0.3</v>
      </c>
      <c r="H14" s="29">
        <f t="shared" si="2"/>
        <v>480</v>
      </c>
      <c r="I14" s="30">
        <v>0.8</v>
      </c>
      <c r="J14" s="31">
        <f t="shared" si="3"/>
        <v>0.37499999999999994</v>
      </c>
      <c r="K14" s="28">
        <v>0.3</v>
      </c>
      <c r="L14" s="29">
        <f t="shared" si="4"/>
        <v>300</v>
      </c>
      <c r="M14" s="30">
        <v>0.5</v>
      </c>
      <c r="N14" s="31">
        <f t="shared" si="5"/>
        <v>0.6</v>
      </c>
      <c r="O14" s="32" t="s">
        <v>17</v>
      </c>
    </row>
    <row r="15" spans="1:16" x14ac:dyDescent="0.2">
      <c r="A15" s="26">
        <v>11</v>
      </c>
      <c r="B15" s="27" t="s">
        <v>25</v>
      </c>
      <c r="C15" s="28">
        <v>0.4</v>
      </c>
      <c r="D15" s="29">
        <f t="shared" si="0"/>
        <v>450</v>
      </c>
      <c r="E15" s="30">
        <v>1</v>
      </c>
      <c r="F15" s="31">
        <f t="shared" si="1"/>
        <v>0.4</v>
      </c>
      <c r="G15" s="28">
        <v>0.4</v>
      </c>
      <c r="H15" s="29">
        <f t="shared" si="2"/>
        <v>360</v>
      </c>
      <c r="I15" s="30">
        <v>0.8</v>
      </c>
      <c r="J15" s="31">
        <f t="shared" si="3"/>
        <v>0.5</v>
      </c>
      <c r="K15" s="28">
        <v>0.4</v>
      </c>
      <c r="L15" s="29">
        <f t="shared" si="4"/>
        <v>225</v>
      </c>
      <c r="M15" s="30">
        <v>0.5</v>
      </c>
      <c r="N15" s="31">
        <f t="shared" si="5"/>
        <v>0.8</v>
      </c>
      <c r="O15" s="32" t="s">
        <v>15</v>
      </c>
    </row>
    <row r="16" spans="1:16" x14ac:dyDescent="0.2">
      <c r="A16" s="33">
        <v>12</v>
      </c>
      <c r="B16" s="34" t="s">
        <v>26</v>
      </c>
      <c r="C16" s="35">
        <v>0.8</v>
      </c>
      <c r="D16" s="36">
        <f t="shared" si="0"/>
        <v>225</v>
      </c>
      <c r="E16" s="37">
        <v>1</v>
      </c>
      <c r="F16" s="38">
        <f t="shared" si="1"/>
        <v>0.8</v>
      </c>
      <c r="G16" s="35">
        <v>0.8</v>
      </c>
      <c r="H16" s="36">
        <f t="shared" si="2"/>
        <v>180</v>
      </c>
      <c r="I16" s="37">
        <v>0.8</v>
      </c>
      <c r="J16" s="38">
        <f t="shared" si="3"/>
        <v>1</v>
      </c>
      <c r="K16" s="35">
        <v>0.8</v>
      </c>
      <c r="L16" s="36">
        <f t="shared" si="4"/>
        <v>112</v>
      </c>
      <c r="M16" s="37">
        <v>0.5</v>
      </c>
      <c r="N16" s="38">
        <f t="shared" si="5"/>
        <v>1.6</v>
      </c>
      <c r="O16" s="39" t="s">
        <v>15</v>
      </c>
    </row>
    <row r="17" spans="1:15" x14ac:dyDescent="0.2">
      <c r="A17" s="33">
        <v>13</v>
      </c>
      <c r="B17" s="34" t="s">
        <v>27</v>
      </c>
      <c r="C17" s="35">
        <v>0.65</v>
      </c>
      <c r="D17" s="36">
        <f t="shared" si="0"/>
        <v>276</v>
      </c>
      <c r="E17" s="37">
        <v>1</v>
      </c>
      <c r="F17" s="38">
        <f t="shared" si="1"/>
        <v>0.65</v>
      </c>
      <c r="G17" s="35">
        <v>0.65</v>
      </c>
      <c r="H17" s="36">
        <f t="shared" si="2"/>
        <v>221</v>
      </c>
      <c r="I17" s="37">
        <v>0.8</v>
      </c>
      <c r="J17" s="38">
        <f t="shared" si="3"/>
        <v>0.8125</v>
      </c>
      <c r="K17" s="35">
        <v>0.65</v>
      </c>
      <c r="L17" s="36">
        <f t="shared" si="4"/>
        <v>138</v>
      </c>
      <c r="M17" s="37">
        <v>0.5</v>
      </c>
      <c r="N17" s="38">
        <f t="shared" si="5"/>
        <v>1.3</v>
      </c>
      <c r="O17" s="39" t="s">
        <v>15</v>
      </c>
    </row>
    <row r="18" spans="1:15" x14ac:dyDescent="0.2">
      <c r="A18" s="33">
        <v>14</v>
      </c>
      <c r="B18" s="34" t="s">
        <v>28</v>
      </c>
      <c r="C18" s="35">
        <v>0.45</v>
      </c>
      <c r="D18" s="36">
        <f t="shared" si="0"/>
        <v>400</v>
      </c>
      <c r="E18" s="37">
        <v>1</v>
      </c>
      <c r="F18" s="38">
        <f t="shared" si="1"/>
        <v>0.45</v>
      </c>
      <c r="G18" s="35">
        <v>0.45</v>
      </c>
      <c r="H18" s="36">
        <f t="shared" si="2"/>
        <v>320</v>
      </c>
      <c r="I18" s="37">
        <v>0.8</v>
      </c>
      <c r="J18" s="38">
        <f t="shared" si="3"/>
        <v>0.5625</v>
      </c>
      <c r="K18" s="35">
        <v>0.45</v>
      </c>
      <c r="L18" s="36">
        <f t="shared" si="4"/>
        <v>200</v>
      </c>
      <c r="M18" s="37">
        <v>0.5</v>
      </c>
      <c r="N18" s="38">
        <f t="shared" si="5"/>
        <v>0.9</v>
      </c>
      <c r="O18" s="39" t="s">
        <v>15</v>
      </c>
    </row>
    <row r="19" spans="1:15" x14ac:dyDescent="0.2">
      <c r="A19" s="40">
        <v>15</v>
      </c>
      <c r="B19" s="41" t="s">
        <v>29</v>
      </c>
      <c r="C19" s="42">
        <v>0.45</v>
      </c>
      <c r="D19" s="43">
        <f t="shared" si="0"/>
        <v>400</v>
      </c>
      <c r="E19" s="44">
        <v>1</v>
      </c>
      <c r="F19" s="45">
        <f t="shared" si="1"/>
        <v>0.45</v>
      </c>
      <c r="G19" s="42">
        <v>0.45</v>
      </c>
      <c r="H19" s="43">
        <f t="shared" si="2"/>
        <v>320</v>
      </c>
      <c r="I19" s="44">
        <v>0.8</v>
      </c>
      <c r="J19" s="45">
        <f t="shared" si="3"/>
        <v>0.5625</v>
      </c>
      <c r="K19" s="42">
        <v>0.45</v>
      </c>
      <c r="L19" s="43">
        <f t="shared" si="4"/>
        <v>200</v>
      </c>
      <c r="M19" s="44">
        <v>0.5</v>
      </c>
      <c r="N19" s="45">
        <f t="shared" si="5"/>
        <v>0.9</v>
      </c>
      <c r="O19" s="46" t="s">
        <v>15</v>
      </c>
    </row>
    <row r="20" spans="1:15" x14ac:dyDescent="0.2">
      <c r="A20" s="40">
        <v>16</v>
      </c>
      <c r="B20" s="41" t="s">
        <v>30</v>
      </c>
      <c r="C20" s="42">
        <v>0.6</v>
      </c>
      <c r="D20" s="43">
        <f t="shared" si="0"/>
        <v>300</v>
      </c>
      <c r="E20" s="44">
        <v>1</v>
      </c>
      <c r="F20" s="45">
        <f t="shared" si="1"/>
        <v>0.6</v>
      </c>
      <c r="G20" s="42">
        <v>0.6</v>
      </c>
      <c r="H20" s="43">
        <f t="shared" si="2"/>
        <v>240</v>
      </c>
      <c r="I20" s="44">
        <v>0.8</v>
      </c>
      <c r="J20" s="45">
        <f t="shared" si="3"/>
        <v>0.74999999999999989</v>
      </c>
      <c r="K20" s="42">
        <v>0.6</v>
      </c>
      <c r="L20" s="43">
        <f t="shared" si="4"/>
        <v>150</v>
      </c>
      <c r="M20" s="44">
        <v>0.5</v>
      </c>
      <c r="N20" s="45">
        <f t="shared" si="5"/>
        <v>1.2</v>
      </c>
      <c r="O20" s="46" t="s">
        <v>15</v>
      </c>
    </row>
    <row r="21" spans="1:15" x14ac:dyDescent="0.2">
      <c r="A21" s="40">
        <v>17</v>
      </c>
      <c r="B21" s="41" t="s">
        <v>31</v>
      </c>
      <c r="C21" s="42">
        <v>0.4</v>
      </c>
      <c r="D21" s="43">
        <f t="shared" si="0"/>
        <v>450</v>
      </c>
      <c r="E21" s="44">
        <v>1</v>
      </c>
      <c r="F21" s="45">
        <f t="shared" si="1"/>
        <v>0.4</v>
      </c>
      <c r="G21" s="42">
        <v>0.4</v>
      </c>
      <c r="H21" s="43">
        <f t="shared" si="2"/>
        <v>360</v>
      </c>
      <c r="I21" s="44">
        <v>0.8</v>
      </c>
      <c r="J21" s="45">
        <f t="shared" si="3"/>
        <v>0.5</v>
      </c>
      <c r="K21" s="42">
        <v>0.4</v>
      </c>
      <c r="L21" s="43">
        <f t="shared" si="4"/>
        <v>225</v>
      </c>
      <c r="M21" s="44">
        <v>0.5</v>
      </c>
      <c r="N21" s="45">
        <f t="shared" si="5"/>
        <v>0.8</v>
      </c>
      <c r="O21" s="46" t="s">
        <v>15</v>
      </c>
    </row>
    <row r="22" spans="1:15" x14ac:dyDescent="0.2">
      <c r="A22" s="47">
        <v>18</v>
      </c>
      <c r="B22" s="48" t="s">
        <v>32</v>
      </c>
      <c r="C22" s="49">
        <v>0.45</v>
      </c>
      <c r="D22" s="50">
        <f t="shared" si="0"/>
        <v>400</v>
      </c>
      <c r="E22" s="51">
        <v>1</v>
      </c>
      <c r="F22" s="52">
        <f t="shared" si="1"/>
        <v>0.45</v>
      </c>
      <c r="G22" s="49">
        <v>0.45</v>
      </c>
      <c r="H22" s="50">
        <f t="shared" si="2"/>
        <v>320</v>
      </c>
      <c r="I22" s="51">
        <v>0.8</v>
      </c>
      <c r="J22" s="52">
        <f t="shared" si="3"/>
        <v>0.5625</v>
      </c>
      <c r="K22" s="49">
        <v>0.45</v>
      </c>
      <c r="L22" s="50">
        <f t="shared" si="4"/>
        <v>200</v>
      </c>
      <c r="M22" s="51">
        <v>0.5</v>
      </c>
      <c r="N22" s="52">
        <f t="shared" si="5"/>
        <v>0.9</v>
      </c>
      <c r="O22" s="53" t="s">
        <v>15</v>
      </c>
    </row>
    <row r="23" spans="1:15" x14ac:dyDescent="0.2">
      <c r="A23" s="47">
        <v>19</v>
      </c>
      <c r="B23" s="48" t="s">
        <v>33</v>
      </c>
      <c r="C23" s="49">
        <v>0.9</v>
      </c>
      <c r="D23" s="50">
        <f t="shared" si="0"/>
        <v>200</v>
      </c>
      <c r="E23" s="51">
        <v>1</v>
      </c>
      <c r="F23" s="52">
        <f t="shared" si="1"/>
        <v>0.9</v>
      </c>
      <c r="G23" s="49">
        <v>0.9</v>
      </c>
      <c r="H23" s="50">
        <f t="shared" si="2"/>
        <v>160</v>
      </c>
      <c r="I23" s="51">
        <v>0.8</v>
      </c>
      <c r="J23" s="52">
        <f t="shared" si="3"/>
        <v>1.125</v>
      </c>
      <c r="K23" s="49">
        <v>0.9</v>
      </c>
      <c r="L23" s="50">
        <f t="shared" si="4"/>
        <v>100</v>
      </c>
      <c r="M23" s="51">
        <v>0.5</v>
      </c>
      <c r="N23" s="52">
        <f t="shared" si="5"/>
        <v>1.8</v>
      </c>
      <c r="O23" s="53" t="s">
        <v>15</v>
      </c>
    </row>
    <row r="24" spans="1:15" x14ac:dyDescent="0.2">
      <c r="A24" s="47">
        <v>20</v>
      </c>
      <c r="B24" s="48" t="s">
        <v>34</v>
      </c>
      <c r="C24" s="49">
        <v>0.75</v>
      </c>
      <c r="D24" s="50">
        <f t="shared" si="0"/>
        <v>240</v>
      </c>
      <c r="E24" s="51">
        <v>1</v>
      </c>
      <c r="F24" s="52">
        <f t="shared" si="1"/>
        <v>0.75</v>
      </c>
      <c r="G24" s="49">
        <v>0.75</v>
      </c>
      <c r="H24" s="50">
        <f t="shared" si="2"/>
        <v>192</v>
      </c>
      <c r="I24" s="51">
        <v>0.8</v>
      </c>
      <c r="J24" s="52">
        <f t="shared" si="3"/>
        <v>0.9375</v>
      </c>
      <c r="K24" s="49">
        <v>0.75</v>
      </c>
      <c r="L24" s="50">
        <f t="shared" si="4"/>
        <v>120</v>
      </c>
      <c r="M24" s="51">
        <v>0.5</v>
      </c>
      <c r="N24" s="52">
        <f t="shared" si="5"/>
        <v>1.5</v>
      </c>
      <c r="O24" s="53" t="s">
        <v>15</v>
      </c>
    </row>
    <row r="25" spans="1:15" x14ac:dyDescent="0.2">
      <c r="A25" s="47">
        <v>21</v>
      </c>
      <c r="B25" s="48" t="s">
        <v>35</v>
      </c>
      <c r="C25" s="49">
        <v>0.85</v>
      </c>
      <c r="D25" s="50">
        <f t="shared" si="0"/>
        <v>211</v>
      </c>
      <c r="E25" s="51">
        <v>1</v>
      </c>
      <c r="F25" s="52">
        <f t="shared" si="1"/>
        <v>0.85</v>
      </c>
      <c r="G25" s="49">
        <v>0.85</v>
      </c>
      <c r="H25" s="50">
        <f t="shared" si="2"/>
        <v>169</v>
      </c>
      <c r="I25" s="51">
        <v>0.8</v>
      </c>
      <c r="J25" s="52">
        <f t="shared" si="3"/>
        <v>1.0625</v>
      </c>
      <c r="K25" s="49">
        <v>0.85</v>
      </c>
      <c r="L25" s="50">
        <f t="shared" si="4"/>
        <v>105</v>
      </c>
      <c r="M25" s="51">
        <v>0.5</v>
      </c>
      <c r="N25" s="52">
        <f t="shared" si="5"/>
        <v>1.7</v>
      </c>
      <c r="O25" s="53" t="s">
        <v>36</v>
      </c>
    </row>
    <row r="26" spans="1:15" ht="28" x14ac:dyDescent="0.2">
      <c r="A26" s="47">
        <v>22</v>
      </c>
      <c r="B26" s="48" t="s">
        <v>37</v>
      </c>
      <c r="C26" s="49">
        <v>0.7</v>
      </c>
      <c r="D26" s="50">
        <f t="shared" si="0"/>
        <v>257</v>
      </c>
      <c r="E26" s="51">
        <v>1</v>
      </c>
      <c r="F26" s="52">
        <f t="shared" si="1"/>
        <v>0.7</v>
      </c>
      <c r="G26" s="49">
        <v>0.7</v>
      </c>
      <c r="H26" s="50">
        <f t="shared" si="2"/>
        <v>205</v>
      </c>
      <c r="I26" s="51">
        <v>0.8</v>
      </c>
      <c r="J26" s="52">
        <f t="shared" si="3"/>
        <v>0.87499999999999989</v>
      </c>
      <c r="K26" s="49">
        <v>0.7</v>
      </c>
      <c r="L26" s="50">
        <f t="shared" si="4"/>
        <v>128</v>
      </c>
      <c r="M26" s="51">
        <v>0.5</v>
      </c>
      <c r="N26" s="52">
        <f t="shared" si="5"/>
        <v>1.4</v>
      </c>
      <c r="O26" s="53" t="s">
        <v>38</v>
      </c>
    </row>
    <row r="27" spans="1:15" x14ac:dyDescent="0.2">
      <c r="A27" s="47">
        <v>23</v>
      </c>
      <c r="B27" s="48" t="s">
        <v>39</v>
      </c>
      <c r="C27" s="49">
        <v>0.8</v>
      </c>
      <c r="D27" s="50">
        <f t="shared" si="0"/>
        <v>225</v>
      </c>
      <c r="E27" s="51">
        <v>1</v>
      </c>
      <c r="F27" s="52">
        <f t="shared" si="1"/>
        <v>0.8</v>
      </c>
      <c r="G27" s="49">
        <v>0.8</v>
      </c>
      <c r="H27" s="50">
        <f t="shared" si="2"/>
        <v>180</v>
      </c>
      <c r="I27" s="51">
        <v>0.8</v>
      </c>
      <c r="J27" s="52">
        <f t="shared" si="3"/>
        <v>1</v>
      </c>
      <c r="K27" s="49">
        <v>0.8</v>
      </c>
      <c r="L27" s="50">
        <f t="shared" si="4"/>
        <v>112</v>
      </c>
      <c r="M27" s="51">
        <v>0.5</v>
      </c>
      <c r="N27" s="52">
        <f t="shared" si="5"/>
        <v>1.6</v>
      </c>
      <c r="O27" s="53" t="s">
        <v>15</v>
      </c>
    </row>
    <row r="28" spans="1:15" x14ac:dyDescent="0.2">
      <c r="A28" s="47">
        <v>24</v>
      </c>
      <c r="B28" s="48" t="s">
        <v>40</v>
      </c>
      <c r="C28" s="49">
        <v>0.6</v>
      </c>
      <c r="D28" s="50">
        <f t="shared" si="0"/>
        <v>300</v>
      </c>
      <c r="E28" s="51">
        <v>1</v>
      </c>
      <c r="F28" s="52">
        <f t="shared" si="1"/>
        <v>0.6</v>
      </c>
      <c r="G28" s="49">
        <v>0.6</v>
      </c>
      <c r="H28" s="50">
        <f t="shared" si="2"/>
        <v>240</v>
      </c>
      <c r="I28" s="51">
        <v>0.8</v>
      </c>
      <c r="J28" s="52">
        <f t="shared" si="3"/>
        <v>0.74999999999999989</v>
      </c>
      <c r="K28" s="49">
        <v>0.6</v>
      </c>
      <c r="L28" s="50">
        <f t="shared" si="4"/>
        <v>150</v>
      </c>
      <c r="M28" s="51">
        <v>0.5</v>
      </c>
      <c r="N28" s="52">
        <f t="shared" si="5"/>
        <v>1.2</v>
      </c>
      <c r="O28" s="53" t="s">
        <v>15</v>
      </c>
    </row>
    <row r="29" spans="1:15" x14ac:dyDescent="0.2">
      <c r="A29" s="47">
        <v>25</v>
      </c>
      <c r="B29" s="48" t="s">
        <v>41</v>
      </c>
      <c r="C29" s="49">
        <v>0.55000000000000004</v>
      </c>
      <c r="D29" s="50">
        <f t="shared" si="0"/>
        <v>327</v>
      </c>
      <c r="E29" s="51">
        <v>1</v>
      </c>
      <c r="F29" s="52">
        <f t="shared" si="1"/>
        <v>0.55000000000000004</v>
      </c>
      <c r="G29" s="49">
        <v>0.55000000000000004</v>
      </c>
      <c r="H29" s="50">
        <f t="shared" si="2"/>
        <v>261</v>
      </c>
      <c r="I29" s="51">
        <v>0.8</v>
      </c>
      <c r="J29" s="52">
        <f t="shared" si="3"/>
        <v>0.6875</v>
      </c>
      <c r="K29" s="49">
        <v>0.55000000000000004</v>
      </c>
      <c r="L29" s="50">
        <f t="shared" si="4"/>
        <v>163</v>
      </c>
      <c r="M29" s="51">
        <v>0.5</v>
      </c>
      <c r="N29" s="52">
        <f t="shared" si="5"/>
        <v>1.1000000000000001</v>
      </c>
      <c r="O29" s="53" t="s">
        <v>42</v>
      </c>
    </row>
    <row r="30" spans="1:15" x14ac:dyDescent="0.2">
      <c r="A30" s="47">
        <v>26</v>
      </c>
      <c r="B30" s="48" t="s">
        <v>43</v>
      </c>
      <c r="C30" s="49">
        <v>0.35</v>
      </c>
      <c r="D30" s="50">
        <f t="shared" si="0"/>
        <v>514</v>
      </c>
      <c r="E30" s="51">
        <v>1</v>
      </c>
      <c r="F30" s="52">
        <f t="shared" si="1"/>
        <v>0.35</v>
      </c>
      <c r="G30" s="49">
        <v>0.35</v>
      </c>
      <c r="H30" s="50">
        <f t="shared" si="2"/>
        <v>411</v>
      </c>
      <c r="I30" s="51">
        <v>0.8</v>
      </c>
      <c r="J30" s="52">
        <f t="shared" si="3"/>
        <v>0.43749999999999994</v>
      </c>
      <c r="K30" s="49">
        <v>0.35</v>
      </c>
      <c r="L30" s="50">
        <f t="shared" si="4"/>
        <v>257</v>
      </c>
      <c r="M30" s="51">
        <v>0.5</v>
      </c>
      <c r="N30" s="52">
        <f t="shared" si="5"/>
        <v>0.7</v>
      </c>
      <c r="O30" s="53" t="s">
        <v>42</v>
      </c>
    </row>
    <row r="31" spans="1:15" x14ac:dyDescent="0.2">
      <c r="A31" s="47">
        <v>27</v>
      </c>
      <c r="B31" s="48" t="s">
        <v>44</v>
      </c>
      <c r="C31" s="49">
        <v>0.55000000000000004</v>
      </c>
      <c r="D31" s="50">
        <f t="shared" si="0"/>
        <v>327</v>
      </c>
      <c r="E31" s="51">
        <v>1</v>
      </c>
      <c r="F31" s="52">
        <f t="shared" si="1"/>
        <v>0.55000000000000004</v>
      </c>
      <c r="G31" s="49">
        <v>0.55000000000000004</v>
      </c>
      <c r="H31" s="50">
        <f t="shared" si="2"/>
        <v>261</v>
      </c>
      <c r="I31" s="51">
        <v>0.8</v>
      </c>
      <c r="J31" s="52">
        <f t="shared" si="3"/>
        <v>0.6875</v>
      </c>
      <c r="K31" s="49">
        <v>0.55000000000000004</v>
      </c>
      <c r="L31" s="50">
        <f t="shared" si="4"/>
        <v>163</v>
      </c>
      <c r="M31" s="51">
        <v>0.5</v>
      </c>
      <c r="N31" s="52">
        <f t="shared" si="5"/>
        <v>1.1000000000000001</v>
      </c>
      <c r="O31" s="53" t="s">
        <v>45</v>
      </c>
    </row>
    <row r="32" spans="1:15" x14ac:dyDescent="0.2">
      <c r="A32" s="47">
        <v>28</v>
      </c>
      <c r="B32" s="48" t="s">
        <v>46</v>
      </c>
      <c r="C32" s="49">
        <v>0.35</v>
      </c>
      <c r="D32" s="50">
        <f t="shared" si="0"/>
        <v>514</v>
      </c>
      <c r="E32" s="51">
        <v>1</v>
      </c>
      <c r="F32" s="52">
        <f t="shared" si="1"/>
        <v>0.35</v>
      </c>
      <c r="G32" s="49">
        <v>0.35</v>
      </c>
      <c r="H32" s="50">
        <f t="shared" si="2"/>
        <v>411</v>
      </c>
      <c r="I32" s="51">
        <v>0.8</v>
      </c>
      <c r="J32" s="52">
        <f t="shared" si="3"/>
        <v>0.43749999999999994</v>
      </c>
      <c r="K32" s="49">
        <v>0.35</v>
      </c>
      <c r="L32" s="50">
        <f t="shared" si="4"/>
        <v>257</v>
      </c>
      <c r="M32" s="51">
        <v>0.5</v>
      </c>
      <c r="N32" s="52">
        <f t="shared" si="5"/>
        <v>0.7</v>
      </c>
      <c r="O32" s="53" t="s">
        <v>45</v>
      </c>
    </row>
    <row r="33" spans="1:15" x14ac:dyDescent="0.2">
      <c r="A33" s="47">
        <v>29</v>
      </c>
      <c r="B33" s="48" t="s">
        <v>47</v>
      </c>
      <c r="C33" s="49">
        <v>0.5</v>
      </c>
      <c r="D33" s="50">
        <f t="shared" si="0"/>
        <v>360</v>
      </c>
      <c r="E33" s="51">
        <v>1</v>
      </c>
      <c r="F33" s="52">
        <f t="shared" si="1"/>
        <v>0.5</v>
      </c>
      <c r="G33" s="49">
        <v>0.5</v>
      </c>
      <c r="H33" s="50">
        <f t="shared" si="2"/>
        <v>288</v>
      </c>
      <c r="I33" s="51">
        <v>0.8</v>
      </c>
      <c r="J33" s="52">
        <f t="shared" si="3"/>
        <v>0.625</v>
      </c>
      <c r="K33" s="49">
        <v>0.5</v>
      </c>
      <c r="L33" s="50">
        <f t="shared" si="4"/>
        <v>180</v>
      </c>
      <c r="M33" s="51">
        <v>0.5</v>
      </c>
      <c r="N33" s="52">
        <f t="shared" si="5"/>
        <v>1</v>
      </c>
      <c r="O33" s="53" t="s">
        <v>48</v>
      </c>
    </row>
    <row r="34" spans="1:15" ht="22.25" customHeight="1" x14ac:dyDescent="0.2">
      <c r="A34" s="10" t="s">
        <v>49</v>
      </c>
      <c r="B34" s="10"/>
      <c r="C34" s="54">
        <f>SUM(C5:C33)</f>
        <v>15.150000000000002</v>
      </c>
      <c r="D34" s="55">
        <f>MIN(D5:D33)</f>
        <v>200</v>
      </c>
      <c r="E34" s="56" t="s">
        <v>50</v>
      </c>
      <c r="F34" s="54">
        <f>SUM(F5:F33)</f>
        <v>15.150000000000002</v>
      </c>
      <c r="G34" s="54">
        <f>SUM(G5:G33)</f>
        <v>15.150000000000002</v>
      </c>
      <c r="H34" s="55">
        <f>MIN(H5:H33)</f>
        <v>160</v>
      </c>
      <c r="I34" s="56" t="s">
        <v>51</v>
      </c>
      <c r="J34" s="54">
        <f>SUM(J5:J33)</f>
        <v>18.9375</v>
      </c>
      <c r="K34" s="54">
        <f>SUM(K5:K33)</f>
        <v>15.150000000000002</v>
      </c>
      <c r="L34" s="55">
        <f>MIN(L5:L33)</f>
        <v>100</v>
      </c>
      <c r="M34" s="56" t="s">
        <v>52</v>
      </c>
      <c r="N34" s="54">
        <f>SUM(N5:N33)</f>
        <v>30.300000000000004</v>
      </c>
      <c r="O34" s="57" t="s">
        <v>53</v>
      </c>
    </row>
    <row r="36" spans="1:15" ht="19.5" customHeight="1" x14ac:dyDescent="0.2">
      <c r="A36" s="10" t="s">
        <v>54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5" customHeight="1" x14ac:dyDescent="0.2">
      <c r="A37" s="10" t="s">
        <v>55</v>
      </c>
      <c r="B37" s="10"/>
      <c r="C37" s="9" t="s">
        <v>56</v>
      </c>
      <c r="D37" s="9"/>
      <c r="E37" s="9"/>
      <c r="F37" s="9"/>
      <c r="G37" s="9" t="s">
        <v>57</v>
      </c>
      <c r="H37" s="9"/>
      <c r="I37" s="9"/>
      <c r="J37" s="9"/>
      <c r="K37" s="8" t="s">
        <v>58</v>
      </c>
      <c r="L37" s="8"/>
      <c r="M37" s="8"/>
      <c r="N37" s="8"/>
      <c r="O37" s="15" t="s">
        <v>59</v>
      </c>
    </row>
    <row r="38" spans="1:15" ht="19.5" customHeight="1" x14ac:dyDescent="0.2">
      <c r="A38" s="7" t="s">
        <v>60</v>
      </c>
      <c r="B38" s="7"/>
      <c r="C38" s="6">
        <f>C34</f>
        <v>15.150000000000002</v>
      </c>
      <c r="D38" s="6"/>
      <c r="E38" s="6"/>
      <c r="F38" s="6"/>
      <c r="G38" s="6">
        <f>G34</f>
        <v>15.150000000000002</v>
      </c>
      <c r="H38" s="6"/>
      <c r="I38" s="6"/>
      <c r="J38" s="6"/>
      <c r="K38" s="5">
        <f>K34</f>
        <v>15.150000000000002</v>
      </c>
      <c r="L38" s="5"/>
      <c r="M38" s="5"/>
      <c r="N38" s="5"/>
      <c r="O38" s="58" t="s">
        <v>61</v>
      </c>
    </row>
    <row r="39" spans="1:15" ht="19.5" customHeight="1" x14ac:dyDescent="0.2">
      <c r="A39" s="4" t="s">
        <v>62</v>
      </c>
      <c r="B39" s="4"/>
      <c r="C39" s="6">
        <f>180*E34</f>
        <v>180</v>
      </c>
      <c r="D39" s="6"/>
      <c r="E39" s="6"/>
      <c r="F39" s="6"/>
      <c r="G39" s="6">
        <f>180*I34</f>
        <v>144</v>
      </c>
      <c r="H39" s="6"/>
      <c r="I39" s="6"/>
      <c r="J39" s="6"/>
      <c r="K39" s="5">
        <f>180*M34</f>
        <v>90</v>
      </c>
      <c r="L39" s="5"/>
      <c r="M39" s="5"/>
      <c r="N39" s="5"/>
      <c r="O39" s="59" t="s">
        <v>63</v>
      </c>
    </row>
    <row r="40" spans="1:15" ht="19.5" customHeight="1" x14ac:dyDescent="0.2">
      <c r="A40" s="7" t="s">
        <v>64</v>
      </c>
      <c r="B40" s="7"/>
      <c r="C40" s="3">
        <f>INT(180*E34/MAX(C5:C33))</f>
        <v>200</v>
      </c>
      <c r="D40" s="3"/>
      <c r="E40" s="3"/>
      <c r="F40" s="3"/>
      <c r="G40" s="3">
        <f>INT(180*I34/MAX(G5:G33))</f>
        <v>160</v>
      </c>
      <c r="H40" s="3"/>
      <c r="I40" s="3"/>
      <c r="J40" s="3"/>
      <c r="K40" s="2">
        <f>INT(180*M34/MAX(K5:K33))</f>
        <v>100</v>
      </c>
      <c r="L40" s="2"/>
      <c r="M40" s="2"/>
      <c r="N40" s="2"/>
      <c r="O40" s="58" t="s">
        <v>65</v>
      </c>
    </row>
    <row r="41" spans="1:15" ht="19.5" customHeight="1" x14ac:dyDescent="0.2">
      <c r="A41" s="4" t="s">
        <v>66</v>
      </c>
      <c r="B41" s="4"/>
      <c r="C41" s="3">
        <f>INT(180*E34*29/C34)</f>
        <v>344</v>
      </c>
      <c r="D41" s="3"/>
      <c r="E41" s="3"/>
      <c r="F41" s="3"/>
      <c r="G41" s="3">
        <f>INT(180*I34*29/G34)</f>
        <v>275</v>
      </c>
      <c r="H41" s="3"/>
      <c r="I41" s="3"/>
      <c r="J41" s="3"/>
      <c r="K41" s="2">
        <f>INT(180*M34*29/K34)</f>
        <v>172</v>
      </c>
      <c r="L41" s="2"/>
      <c r="M41" s="2"/>
      <c r="N41" s="2"/>
      <c r="O41" s="59" t="s">
        <v>67</v>
      </c>
    </row>
    <row r="42" spans="1:15" ht="19.5" customHeight="1" x14ac:dyDescent="0.2">
      <c r="A42" s="7" t="s">
        <v>68</v>
      </c>
      <c r="B42" s="7"/>
      <c r="C42" s="3">
        <f>ROUND(180*E34/C34,0)</f>
        <v>12</v>
      </c>
      <c r="D42" s="3"/>
      <c r="E42" s="3"/>
      <c r="F42" s="3"/>
      <c r="G42" s="3">
        <f>ROUND(180*I34/G34,0)</f>
        <v>10</v>
      </c>
      <c r="H42" s="3"/>
      <c r="I42" s="3"/>
      <c r="J42" s="3"/>
      <c r="K42" s="2">
        <f>ROUND(180*M34/K34,0)</f>
        <v>6</v>
      </c>
      <c r="L42" s="2"/>
      <c r="M42" s="2"/>
      <c r="N42" s="2"/>
      <c r="O42" s="58" t="s">
        <v>69</v>
      </c>
    </row>
    <row r="44" spans="1:15" ht="22.25" customHeight="1" x14ac:dyDescent="0.2">
      <c r="A44" s="1" t="s">
        <v>70</v>
      </c>
      <c r="B44" s="1"/>
      <c r="C44" s="1"/>
      <c r="D44" s="1"/>
      <c r="E44" s="1"/>
      <c r="F44" s="1"/>
    </row>
  </sheetData>
  <mergeCells count="35">
    <mergeCell ref="A42:B42"/>
    <mergeCell ref="C42:F42"/>
    <mergeCell ref="G42:J42"/>
    <mergeCell ref="K42:N42"/>
    <mergeCell ref="A44:F44"/>
    <mergeCell ref="A40:B40"/>
    <mergeCell ref="C40:F40"/>
    <mergeCell ref="G40:J40"/>
    <mergeCell ref="K40:N40"/>
    <mergeCell ref="A41:B41"/>
    <mergeCell ref="C41:F41"/>
    <mergeCell ref="G41:J41"/>
    <mergeCell ref="K41:N41"/>
    <mergeCell ref="A38:B38"/>
    <mergeCell ref="C38:F38"/>
    <mergeCell ref="G38:J38"/>
    <mergeCell ref="K38:N38"/>
    <mergeCell ref="A39:B39"/>
    <mergeCell ref="C39:F39"/>
    <mergeCell ref="G39:J39"/>
    <mergeCell ref="K39:N39"/>
    <mergeCell ref="A34:B34"/>
    <mergeCell ref="A36:O36"/>
    <mergeCell ref="A37:B37"/>
    <mergeCell ref="C37:F37"/>
    <mergeCell ref="G37:J37"/>
    <mergeCell ref="K37:N37"/>
    <mergeCell ref="A1:P1"/>
    <mergeCell ref="A2:P2"/>
    <mergeCell ref="A3:A4"/>
    <mergeCell ref="B3:B4"/>
    <mergeCell ref="C3:F3"/>
    <mergeCell ref="G3:J3"/>
    <mergeCell ref="K3:N3"/>
    <mergeCell ref="O3:O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VASUDEVA VENKATA LAXMI NARSIMHA RAO DECHIRAJU</cp:lastModifiedBy>
  <cp:revision>0</cp:revision>
  <dcterms:created xsi:type="dcterms:W3CDTF">2026-06-02T05:56:45Z</dcterms:created>
  <dcterms:modified xsi:type="dcterms:W3CDTF">2026-06-02T06:01:49Z</dcterms:modified>
  <dc:language>en-US</dc:language>
</cp:coreProperties>
</file>